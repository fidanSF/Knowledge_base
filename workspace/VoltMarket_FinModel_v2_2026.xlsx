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ая модел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&quot; мес.&quot;"/>
    <numFmt numFmtId="165" formatCode="#,##0&quot; тыс.&quot;"/>
    <numFmt numFmtId="166" formatCode="#,##0.0%;(#,##0.0%);-"/>
    <numFmt numFmtId="167" formatCode="#,##0&quot; ₽&quot;"/>
    <numFmt numFmtId="168" formatCode="#,##0&quot; шт.&quot;"/>
    <numFmt numFmtId="169" formatCode="0.0%;(0.0%);-"/>
    <numFmt numFmtId="170" formatCode="#,##0&quot; ₽&quot;;(#,##0&quot; ₽&quot;);-"/>
    <numFmt numFmtId="171" formatCode="0.0%;(0.0%);—"/>
    <numFmt numFmtId="172" formatCode="0.00&quot;x&quot;"/>
    <numFmt numFmtId="173" formatCode="#,##0.0"/>
    <numFmt numFmtId="174" formatCode="+0%;-0%;—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EEEEE"/>
      <sz val="11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1F7A1F"/>
      <sz val="10"/>
    </font>
    <font>
      <name val="Calibri"/>
      <color rgb="00CC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color rgb="000000FF"/>
      <sz val="9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1F7A1F"/>
      <sz val="10"/>
    </font>
    <font>
      <name val="Calibri"/>
      <b val="1"/>
      <color rgb="00000000"/>
      <sz val="11"/>
    </font>
    <font>
      <name val="Calibri"/>
      <color rgb="00000000"/>
      <sz val="11"/>
    </font>
  </fonts>
  <fills count="12">
    <fill>
      <patternFill/>
    </fill>
    <fill>
      <patternFill patternType="gray125"/>
    </fill>
    <fill>
      <patternFill patternType="solid">
        <fgColor rgb="00D75945"/>
      </patternFill>
    </fill>
    <fill>
      <patternFill patternType="solid">
        <fgColor rgb="002D2D2C"/>
      </patternFill>
    </fill>
    <fill>
      <patternFill patternType="solid">
        <fgColor rgb="00F8F8F8"/>
      </patternFill>
    </fill>
    <fill>
      <patternFill patternType="solid">
        <fgColor rgb="007F7F7E"/>
      </patternFill>
    </fill>
    <fill>
      <patternFill patternType="solid">
        <fgColor rgb="00F0F0F0"/>
      </patternFill>
    </fill>
    <fill>
      <patternFill patternType="solid">
        <fgColor rgb="001F7A1F"/>
      </patternFill>
    </fill>
    <fill>
      <patternFill patternType="solid">
        <fgColor rgb="00F5F5F5"/>
      </patternFill>
    </fill>
    <fill>
      <patternFill patternType="solid">
        <fgColor rgb="00FFF0EC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4" fontId="10" fillId="0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 vertical="center"/>
    </xf>
    <xf numFmtId="168" fontId="6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 wrapText="1"/>
    </xf>
    <xf numFmtId="168" fontId="12" fillId="8" borderId="0" applyAlignment="1" pivotButton="0" quotePrefix="0" xfId="0">
      <alignment horizontal="right" vertical="center"/>
    </xf>
    <xf numFmtId="168" fontId="13" fillId="8" borderId="0" applyAlignment="1" pivotButton="0" quotePrefix="0" xfId="0">
      <alignment horizontal="right" vertical="center"/>
    </xf>
    <xf numFmtId="167" fontId="12" fillId="8" borderId="0" applyAlignment="1" pivotButton="0" quotePrefix="0" xfId="0">
      <alignment horizontal="right" vertical="center"/>
    </xf>
    <xf numFmtId="167" fontId="13" fillId="8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12" fillId="9" borderId="0" applyAlignment="1" pivotButton="0" quotePrefix="0" xfId="0">
      <alignment horizontal="left" vertical="center" wrapText="1"/>
    </xf>
    <xf numFmtId="167" fontId="12" fillId="9" borderId="0" applyAlignment="1" pivotButton="0" quotePrefix="0" xfId="0">
      <alignment horizontal="right" vertical="center"/>
    </xf>
    <xf numFmtId="167" fontId="13" fillId="9" borderId="0" applyAlignment="1" pivotButton="0" quotePrefix="0" xfId="0">
      <alignment horizontal="right" vertical="center"/>
    </xf>
    <xf numFmtId="0" fontId="12" fillId="10" borderId="0" applyAlignment="1" pivotButton="0" quotePrefix="0" xfId="0">
      <alignment horizontal="left" vertical="center" wrapText="1"/>
    </xf>
    <xf numFmtId="167" fontId="12" fillId="10" borderId="0" applyAlignment="1" pivotButton="0" quotePrefix="0" xfId="0">
      <alignment horizontal="right" vertical="center"/>
    </xf>
    <xf numFmtId="167" fontId="13" fillId="1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169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70" fontId="12" fillId="10" borderId="0" applyAlignment="1" pivotButton="0" quotePrefix="0" xfId="0">
      <alignment horizontal="right" vertical="center"/>
    </xf>
    <xf numFmtId="170" fontId="13" fillId="10" borderId="0" applyAlignment="1" pivotButton="0" quotePrefix="0" xfId="0">
      <alignment horizontal="right" vertical="center"/>
    </xf>
    <xf numFmtId="171" fontId="5" fillId="0" borderId="0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168" fontId="5" fillId="0" borderId="0" applyAlignment="1" pivotButton="0" quotePrefix="0" xfId="0">
      <alignment horizontal="right"/>
    </xf>
    <xf numFmtId="172" fontId="5" fillId="0" borderId="0" applyAlignment="1" pivotButton="0" quotePrefix="0" xfId="0">
      <alignment horizontal="right" vertical="center"/>
    </xf>
    <xf numFmtId="172" fontId="6" fillId="0" borderId="0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173" fontId="14" fillId="4" borderId="0" applyAlignment="1" pivotButton="0" quotePrefix="0" xfId="0">
      <alignment horizontal="center" vertical="center"/>
    </xf>
    <xf numFmtId="174" fontId="5" fillId="4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173" fontId="15" fillId="11" borderId="0" applyAlignment="1" pivotButton="0" quotePrefix="0" xfId="0">
      <alignment horizontal="center" vertical="center"/>
    </xf>
    <xf numFmtId="174" fontId="5" fillId="11" borderId="0" applyAlignment="1" pivotButton="0" quotePrefix="0" xfId="0">
      <alignment horizontal="center" vertical="center"/>
    </xf>
    <xf numFmtId="173" fontId="15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FFCCCC"/>
        </patternFill>
      </fill>
    </dxf>
    <dxf>
      <fill>
        <patternFill patternType="solid">
          <fgColor rgb="00CC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3" customWidth="1" min="11" max="11"/>
    <col width="18" customWidth="1" min="12" max="12"/>
    <col width="18" customWidth="1" min="13" max="13"/>
    <col width="18" customWidth="1" min="14" max="14"/>
  </cols>
  <sheetData>
    <row r="1" ht="36" customHeight="1">
      <c r="A1" s="1" t="inlineStr">
        <is>
          <t>ВольтМаркет — Нишевый маркетплейс электротоваров · Финансовая модель 2026–2028</t>
        </is>
      </c>
    </row>
    <row r="2" ht="22" customHeight="1">
      <c r="A2" s="2" t="inlineStr">
        <is>
          <t>GMV-based модель · Старт: июнь 2026 · Конфиденциально · © ВольтМаркет, 2026</t>
        </is>
      </c>
    </row>
    <row r="3" ht="18" customHeight="1"/>
    <row r="4" ht="20" customHeight="1">
      <c r="A4" s="3" t="inlineStr">
        <is>
          <t>УСЛОВНЫЕ ОБОЗНАЧЕНИЯ:</t>
        </is>
      </c>
    </row>
    <row r="5" ht="16" customHeight="1">
      <c r="A5" s="4" t="inlineStr">
        <is>
          <t>● Синий текст = вводимые данные (hardcode). Можно изменять для сценариев.</t>
        </is>
      </c>
    </row>
    <row r="6" ht="16" customHeight="1">
      <c r="A6" s="5" t="inlineStr">
        <is>
          <t>● Чёрный текст = расчётные формулы. Не изменять вручную.</t>
        </is>
      </c>
    </row>
    <row r="7" ht="16" customHeight="1">
      <c r="A7" s="6" t="inlineStr">
        <is>
          <t>● Зелёный текст = итоговые суммы по годам (правая часть таблицы).</t>
        </is>
      </c>
    </row>
    <row r="8" ht="16" customHeight="1">
      <c r="A8" s="7" t="inlineStr">
        <is>
          <t>● Красный текст = отрицательные значения (убыток).</t>
        </is>
      </c>
    </row>
    <row r="9" ht="18" customHeight="1"/>
    <row r="10" ht="28" customHeight="1">
      <c r="A10" s="8" t="inlineStr">
        <is>
          <t>ПОКАЗАТЕЛЬ</t>
        </is>
      </c>
      <c r="B10" s="9" t="inlineStr">
        <is>
          <t>H2 2026</t>
        </is>
      </c>
      <c r="C10" s="9" t="inlineStr">
        <is>
          <t>Q1 2027</t>
        </is>
      </c>
      <c r="D10" s="10" t="inlineStr">
        <is>
          <t>Q2 2027</t>
        </is>
      </c>
      <c r="E10" s="10" t="inlineStr">
        <is>
          <t>Q3 2027</t>
        </is>
      </c>
      <c r="F10" s="10" t="inlineStr">
        <is>
          <t>Q4 2027</t>
        </is>
      </c>
      <c r="G10" s="10" t="inlineStr">
        <is>
          <t>Q1 2028</t>
        </is>
      </c>
      <c r="H10" s="8" t="inlineStr">
        <is>
          <t>Q2 2028</t>
        </is>
      </c>
      <c r="I10" s="8" t="inlineStr">
        <is>
          <t>Q3 2028</t>
        </is>
      </c>
      <c r="J10" s="8" t="inlineStr">
        <is>
          <t>Q4 2028</t>
        </is>
      </c>
      <c r="K10" s="11" t="inlineStr"/>
      <c r="L10" s="12" t="inlineStr">
        <is>
          <t>2026 H2</t>
        </is>
      </c>
      <c r="M10" s="12" t="inlineStr">
        <is>
          <t>2027 (год)</t>
        </is>
      </c>
      <c r="N10" s="12" t="inlineStr">
        <is>
          <t>2028 (год)</t>
        </is>
      </c>
    </row>
    <row r="11" ht="16" customHeight="1">
      <c r="A11" s="13" t="inlineStr">
        <is>
          <t>Длительность периода (мес.)</t>
        </is>
      </c>
      <c r="B11" s="14" t="n">
        <v>7</v>
      </c>
      <c r="C11" s="14" t="n">
        <v>3</v>
      </c>
      <c r="D11" s="14" t="n">
        <v>3</v>
      </c>
      <c r="E11" s="14" t="n">
        <v>3</v>
      </c>
      <c r="F11" s="14" t="n">
        <v>3</v>
      </c>
      <c r="G11" s="14" t="n">
        <v>3</v>
      </c>
      <c r="H11" s="14" t="n">
        <v>3</v>
      </c>
      <c r="I11" s="14" t="n">
        <v>3</v>
      </c>
      <c r="J11" s="14" t="n">
        <v>3</v>
      </c>
    </row>
    <row r="12" ht="18" customHeight="1"/>
    <row r="13" ht="24" customHeight="1">
      <c r="A13" s="15" t="inlineStr">
        <is>
          <t xml:space="preserve">  РАЗДЕЛ 1: ОПЕРАЦИОННЫЕ ДРАЙВЕРЫ  (синим — вводимые данные)</t>
        </is>
      </c>
    </row>
    <row r="14" ht="18" customHeight="1">
      <c r="A14" s="16" t="inlineStr">
        <is>
          <t>Общий трафик (тыс. визитов)</t>
        </is>
      </c>
      <c r="B14" s="17" t="n">
        <v>467</v>
      </c>
      <c r="C14" s="17" t="n">
        <v>360</v>
      </c>
      <c r="D14" s="17" t="n">
        <v>380</v>
      </c>
      <c r="E14" s="17" t="n">
        <v>370</v>
      </c>
      <c r="F14" s="17" t="n">
        <v>430</v>
      </c>
      <c r="G14" s="17" t="n">
        <v>620</v>
      </c>
      <c r="H14" s="17" t="n">
        <v>715</v>
      </c>
      <c r="I14" s="17" t="n">
        <v>790</v>
      </c>
      <c r="J14" s="17" t="n">
        <v>940</v>
      </c>
    </row>
    <row r="15" ht="18" customHeight="1">
      <c r="A15" s="16" t="inlineStr">
        <is>
          <t>Конверсия в заказ (%)</t>
        </is>
      </c>
      <c r="B15" s="18" t="n">
        <v>0.03</v>
      </c>
      <c r="C15" s="18" t="n">
        <v>0.031</v>
      </c>
      <c r="D15" s="18" t="n">
        <v>0.032</v>
      </c>
      <c r="E15" s="18" t="n">
        <v>0.033</v>
      </c>
      <c r="F15" s="18" t="n">
        <v>0.035</v>
      </c>
      <c r="G15" s="18" t="n">
        <v>0.037</v>
      </c>
      <c r="H15" s="18" t="n">
        <v>0.038</v>
      </c>
      <c r="I15" s="18" t="n">
        <v>0.039</v>
      </c>
      <c r="J15" s="18" t="n">
        <v>0.04</v>
      </c>
    </row>
    <row r="16" ht="18" customHeight="1">
      <c r="A16" s="16" t="inlineStr">
        <is>
          <t>Средний чек AOV (₽)</t>
        </is>
      </c>
      <c r="B16" s="19" t="n">
        <v>12500</v>
      </c>
      <c r="C16" s="19" t="n">
        <v>13500</v>
      </c>
      <c r="D16" s="19" t="n">
        <v>14500</v>
      </c>
      <c r="E16" s="19" t="n">
        <v>15000</v>
      </c>
      <c r="F16" s="19" t="n">
        <v>16000</v>
      </c>
      <c r="G16" s="19" t="n">
        <v>17500</v>
      </c>
      <c r="H16" s="19" t="n">
        <v>18500</v>
      </c>
      <c r="I16" s="19" t="n">
        <v>19500</v>
      </c>
      <c r="J16" s="19" t="n">
        <v>20000</v>
      </c>
    </row>
    <row r="17" ht="18" customHeight="1">
      <c r="A17" s="16" t="inlineStr">
        <is>
          <t>Доля B2B-покупателей (%)</t>
        </is>
      </c>
      <c r="B17" s="18" t="n">
        <v>0.3</v>
      </c>
      <c r="C17" s="18" t="n">
        <v>0.35</v>
      </c>
      <c r="D17" s="18" t="n">
        <v>0.38</v>
      </c>
      <c r="E17" s="18" t="n">
        <v>0.4</v>
      </c>
      <c r="F17" s="18" t="n">
        <v>0.42</v>
      </c>
      <c r="G17" s="18" t="n">
        <v>0.45</v>
      </c>
      <c r="H17" s="18" t="n">
        <v>0.48</v>
      </c>
      <c r="I17" s="18" t="n">
        <v>0.5</v>
      </c>
      <c r="J17" s="18" t="n">
        <v>0.52</v>
      </c>
    </row>
    <row r="18" ht="18" customHeight="1">
      <c r="A18" s="16" t="inlineStr">
        <is>
          <t>CAC — стоимость привлечения покупателя (₽)</t>
        </is>
      </c>
      <c r="B18" s="19" t="n">
        <v>1500</v>
      </c>
      <c r="C18" s="19" t="n">
        <v>1450</v>
      </c>
      <c r="D18" s="19" t="n">
        <v>1400</v>
      </c>
      <c r="E18" s="19" t="n">
        <v>1350</v>
      </c>
      <c r="F18" s="19" t="n">
        <v>1300</v>
      </c>
      <c r="G18" s="19" t="n">
        <v>1250</v>
      </c>
      <c r="H18" s="19" t="n">
        <v>1200</v>
      </c>
      <c r="I18" s="19" t="n">
        <v>1150</v>
      </c>
      <c r="J18" s="19" t="n">
        <v>1100</v>
      </c>
    </row>
    <row r="19" ht="18" customHeight="1">
      <c r="A19" s="16" t="inlineStr">
        <is>
          <t>Кол-во продавцов (активные на конец периода)</t>
        </is>
      </c>
      <c r="B19" s="20" t="n">
        <v>125</v>
      </c>
      <c r="C19" s="20" t="n">
        <v>160</v>
      </c>
      <c r="D19" s="20" t="n">
        <v>190</v>
      </c>
      <c r="E19" s="20" t="n">
        <v>220</v>
      </c>
      <c r="F19" s="20" t="n">
        <v>250</v>
      </c>
      <c r="G19" s="20" t="n">
        <v>290</v>
      </c>
      <c r="H19" s="20" t="n">
        <v>330</v>
      </c>
      <c r="I19" s="20" t="n">
        <v>370</v>
      </c>
      <c r="J19" s="20" t="n">
        <v>400</v>
      </c>
      <c r="L19" s="21">
        <f>B19</f>
        <v/>
      </c>
      <c r="M19" s="21">
        <f>F19</f>
        <v/>
      </c>
      <c r="N19" s="21">
        <f>J19</f>
        <v/>
      </c>
    </row>
    <row r="20" ht="18" customHeight="1">
      <c r="A20" s="16" t="inlineStr">
        <is>
          <t>Новые продавцы за период (шт.)</t>
        </is>
      </c>
      <c r="B20" s="20" t="n">
        <v>50</v>
      </c>
      <c r="C20" s="20" t="n">
        <v>35</v>
      </c>
      <c r="D20" s="20" t="n">
        <v>35</v>
      </c>
      <c r="E20" s="20" t="n">
        <v>35</v>
      </c>
      <c r="F20" s="20" t="n">
        <v>30</v>
      </c>
      <c r="G20" s="20" t="n">
        <v>40</v>
      </c>
      <c r="H20" s="20" t="n">
        <v>45</v>
      </c>
      <c r="I20" s="20" t="n">
        <v>40</v>
      </c>
      <c r="J20" s="20" t="n">
        <v>30</v>
      </c>
    </row>
    <row r="21" ht="18" customHeight="1">
      <c r="A21" s="16" t="inlineStr">
        <is>
          <t>Churn продавцов (% в месяц)</t>
        </is>
      </c>
      <c r="B21" s="18" t="n">
        <v>0.03</v>
      </c>
      <c r="C21" s="18" t="n">
        <v>0.03</v>
      </c>
      <c r="D21" s="18" t="n">
        <v>0.03</v>
      </c>
      <c r="E21" s="18" t="n">
        <v>0.03</v>
      </c>
      <c r="F21" s="18" t="n">
        <v>0.03</v>
      </c>
      <c r="G21" s="18" t="n">
        <v>0.03</v>
      </c>
      <c r="H21" s="18" t="n">
        <v>0.03</v>
      </c>
      <c r="I21" s="18" t="n">
        <v>0.03</v>
      </c>
      <c r="J21" s="18" t="n">
        <v>0.03</v>
      </c>
    </row>
    <row r="22" ht="18" customHeight="1">
      <c r="A22" s="16" t="inlineStr">
        <is>
          <t>SKU (тыс. позиций в каталоге)</t>
        </is>
      </c>
      <c r="B22" s="17" t="n">
        <v>400</v>
      </c>
      <c r="C22" s="17" t="n">
        <v>600</v>
      </c>
      <c r="D22" s="17" t="n">
        <v>900</v>
      </c>
      <c r="E22" s="17" t="n">
        <v>1500</v>
      </c>
      <c r="F22" s="17" t="n">
        <v>2500</v>
      </c>
      <c r="G22" s="17" t="n">
        <v>3000</v>
      </c>
      <c r="H22" s="17" t="n">
        <v>3800</v>
      </c>
      <c r="I22" s="17" t="n">
        <v>4500</v>
      </c>
      <c r="J22" s="17" t="n">
        <v>5000</v>
      </c>
      <c r="L22" s="21">
        <f>B22</f>
        <v/>
      </c>
      <c r="M22" s="21">
        <f>F22</f>
        <v/>
      </c>
      <c r="N22" s="21">
        <f>J22</f>
        <v/>
      </c>
    </row>
    <row r="23" ht="18" customHeight="1">
      <c r="A23" s="16" t="inlineStr">
        <is>
          <t>Доля отмен заказов (%)</t>
        </is>
      </c>
      <c r="B23" s="18" t="n">
        <v>0.03</v>
      </c>
      <c r="C23" s="18" t="n">
        <v>0.028</v>
      </c>
      <c r="D23" s="18" t="n">
        <v>0.026</v>
      </c>
      <c r="E23" s="18" t="n">
        <v>0.025</v>
      </c>
      <c r="F23" s="18" t="n">
        <v>0.025</v>
      </c>
      <c r="G23" s="18" t="n">
        <v>0.024</v>
      </c>
      <c r="H23" s="18" t="n">
        <v>0.023</v>
      </c>
      <c r="I23" s="18" t="n">
        <v>0.022</v>
      </c>
      <c r="J23" s="18" t="n">
        <v>0.02</v>
      </c>
    </row>
    <row r="24" ht="18" customHeight="1">
      <c r="A24" s="16" t="inlineStr">
        <is>
          <t>Доля возвратов (%)</t>
        </is>
      </c>
      <c r="B24" s="18" t="n">
        <v>0.025</v>
      </c>
      <c r="C24" s="18" t="n">
        <v>0.024</v>
      </c>
      <c r="D24" s="18" t="n">
        <v>0.023</v>
      </c>
      <c r="E24" s="18" t="n">
        <v>0.022</v>
      </c>
      <c r="F24" s="18" t="n">
        <v>0.02</v>
      </c>
      <c r="G24" s="18" t="n">
        <v>0.019</v>
      </c>
      <c r="H24" s="18" t="n">
        <v>0.018</v>
      </c>
      <c r="I24" s="18" t="n">
        <v>0.017</v>
      </c>
      <c r="J24" s="18" t="n">
        <v>0.015</v>
      </c>
    </row>
    <row r="25" ht="18" customHeight="1">
      <c r="A25" s="16" t="inlineStr">
        <is>
          <t>Take Rate — комиссия платформы (%)</t>
        </is>
      </c>
      <c r="B25" s="18" t="n">
        <v>0.08</v>
      </c>
      <c r="C25" s="18" t="n">
        <v>0.08</v>
      </c>
      <c r="D25" s="18" t="n">
        <v>0.08</v>
      </c>
      <c r="E25" s="18" t="n">
        <v>0.08</v>
      </c>
      <c r="F25" s="18" t="n">
        <v>0.08</v>
      </c>
      <c r="G25" s="18" t="n">
        <v>0.08</v>
      </c>
      <c r="H25" s="18" t="n">
        <v>0.08</v>
      </c>
      <c r="I25" s="18" t="n">
        <v>0.08</v>
      </c>
      <c r="J25" s="18" t="n">
        <v>0.08</v>
      </c>
    </row>
    <row r="26" ht="18" customHeight="1">
      <c r="A26" s="16" t="inlineStr">
        <is>
          <t>Комиссия эквайринга (% от GMV)</t>
        </is>
      </c>
      <c r="B26" s="18" t="n">
        <v>0.02</v>
      </c>
      <c r="C26" s="18" t="n">
        <v>0.02</v>
      </c>
      <c r="D26" s="18" t="n">
        <v>0.02</v>
      </c>
      <c r="E26" s="18" t="n">
        <v>0.02</v>
      </c>
      <c r="F26" s="18" t="n">
        <v>0.02</v>
      </c>
      <c r="G26" s="18" t="n">
        <v>0.018</v>
      </c>
      <c r="H26" s="18" t="n">
        <v>0.018</v>
      </c>
      <c r="I26" s="18" t="n">
        <v>0.018</v>
      </c>
      <c r="J26" s="18" t="n">
        <v>0.018</v>
      </c>
    </row>
    <row r="27" ht="18" customHeight="1">
      <c r="A27" s="16" t="inlineStr">
        <is>
          <t>Субсидия доставки (% от GMV)</t>
        </is>
      </c>
      <c r="B27" s="18" t="n">
        <v>0.01</v>
      </c>
      <c r="C27" s="18" t="n">
        <v>0.008999999999999999</v>
      </c>
      <c r="D27" s="18" t="n">
        <v>0.008500000000000001</v>
      </c>
      <c r="E27" s="18" t="n">
        <v>0.008</v>
      </c>
      <c r="F27" s="18" t="n">
        <v>0.0075</v>
      </c>
      <c r="G27" s="18" t="n">
        <v>0.007</v>
      </c>
      <c r="H27" s="18" t="n">
        <v>0.0065</v>
      </c>
      <c r="I27" s="18" t="n">
        <v>0.006</v>
      </c>
      <c r="J27" s="18" t="n">
        <v>0.005</v>
      </c>
    </row>
    <row r="28" ht="18" customHeight="1">
      <c r="A28" s="16" t="inlineStr">
        <is>
          <t>Стоимость поддержки на заказ (₽)</t>
        </is>
      </c>
      <c r="B28" s="19" t="n">
        <v>50</v>
      </c>
      <c r="C28" s="19" t="n">
        <v>50</v>
      </c>
      <c r="D28" s="19" t="n">
        <v>50</v>
      </c>
      <c r="E28" s="19" t="n">
        <v>50</v>
      </c>
      <c r="F28" s="19" t="n">
        <v>50</v>
      </c>
      <c r="G28" s="19" t="n">
        <v>45</v>
      </c>
      <c r="H28" s="19" t="n">
        <v>45</v>
      </c>
      <c r="I28" s="19" t="n">
        <v>45</v>
      </c>
      <c r="J28" s="19" t="n">
        <v>45</v>
      </c>
    </row>
    <row r="29" ht="18" customHeight="1">
      <c r="A29" s="16" t="inlineStr">
        <is>
          <t>Стоимость обработки возврата (₽/возврат)</t>
        </is>
      </c>
      <c r="B29" s="19" t="n">
        <v>250</v>
      </c>
      <c r="C29" s="19" t="n">
        <v>250</v>
      </c>
      <c r="D29" s="19" t="n">
        <v>250</v>
      </c>
      <c r="E29" s="19" t="n">
        <v>250</v>
      </c>
      <c r="F29" s="19" t="n">
        <v>250</v>
      </c>
      <c r="G29" s="19" t="n">
        <v>250</v>
      </c>
      <c r="H29" s="19" t="n">
        <v>250</v>
      </c>
      <c r="I29" s="19" t="n">
        <v>250</v>
      </c>
      <c r="J29" s="19" t="n">
        <v>250</v>
      </c>
    </row>
    <row r="30" ht="18" customHeight="1">
      <c r="A30" s="16" t="inlineStr">
        <is>
          <t>Подписка продавца (₽/мес/продавец)</t>
        </is>
      </c>
      <c r="B30" s="19" t="n">
        <v>5500</v>
      </c>
      <c r="C30" s="19" t="n">
        <v>5800</v>
      </c>
      <c r="D30" s="19" t="n">
        <v>6000</v>
      </c>
      <c r="E30" s="19" t="n">
        <v>6200</v>
      </c>
      <c r="F30" s="19" t="n">
        <v>6500</v>
      </c>
      <c r="G30" s="19" t="n">
        <v>6800</v>
      </c>
      <c r="H30" s="19" t="n">
        <v>7000</v>
      </c>
      <c r="I30" s="19" t="n">
        <v>7200</v>
      </c>
      <c r="J30" s="19" t="n">
        <v>7500</v>
      </c>
    </row>
    <row r="31" ht="18" customHeight="1">
      <c r="A31" s="16" t="inlineStr">
        <is>
          <t>Доход от рекламы за период (₽)</t>
        </is>
      </c>
      <c r="B31" s="19" t="n">
        <v>2500000</v>
      </c>
      <c r="C31" s="19" t="n">
        <v>2000000</v>
      </c>
      <c r="D31" s="19" t="n">
        <v>3000000</v>
      </c>
      <c r="E31" s="19" t="n">
        <v>4500000</v>
      </c>
      <c r="F31" s="19" t="n">
        <v>6000000</v>
      </c>
      <c r="G31" s="19" t="n">
        <v>9000000</v>
      </c>
      <c r="H31" s="19" t="n">
        <v>13000000</v>
      </c>
      <c r="I31" s="19" t="n">
        <v>17000000</v>
      </c>
      <c r="J31" s="19" t="n">
        <v>22000000</v>
      </c>
      <c r="L31" s="22">
        <f>B31</f>
        <v/>
      </c>
      <c r="M31" s="22">
        <f>SUM(C31:F31)</f>
        <v/>
      </c>
      <c r="N31" s="22">
        <f>SUM(G31:J31)</f>
        <v/>
      </c>
    </row>
    <row r="32" ht="18" customHeight="1">
      <c r="A32" s="16" t="inlineStr">
        <is>
          <t>Доход от продакшн-услуг (₽)</t>
        </is>
      </c>
      <c r="B32" s="19" t="n">
        <v>1000000</v>
      </c>
      <c r="C32" s="19" t="n">
        <v>1500000</v>
      </c>
      <c r="D32" s="19" t="n">
        <v>2000000</v>
      </c>
      <c r="E32" s="19" t="n">
        <v>2500000</v>
      </c>
      <c r="F32" s="19" t="n">
        <v>3000000</v>
      </c>
      <c r="G32" s="19" t="n">
        <v>4000000</v>
      </c>
      <c r="H32" s="19" t="n">
        <v>5000000</v>
      </c>
      <c r="I32" s="19" t="n">
        <v>6000000</v>
      </c>
      <c r="J32" s="19" t="n">
        <v>8000000</v>
      </c>
      <c r="L32" s="22">
        <f>B32</f>
        <v/>
      </c>
      <c r="M32" s="22">
        <f>SUM(C32:F32)</f>
        <v/>
      </c>
      <c r="N32" s="22">
        <f>SUM(G32:J32)</f>
        <v/>
      </c>
    </row>
    <row r="33" ht="18" customHeight="1"/>
    <row r="34" ht="24" customHeight="1">
      <c r="A34" s="15" t="inlineStr">
        <is>
          <t xml:space="preserve">  РАЗДЕЛ 2: ЗАКАЗЫ И ВОРОНКА</t>
        </is>
      </c>
    </row>
    <row r="35" ht="18" customHeight="1">
      <c r="A35" s="16" t="inlineStr">
        <is>
          <t>Количество заказов (шт.)</t>
        </is>
      </c>
      <c r="B35" s="23">
        <f>ROUND(B14*1000*B15,0)</f>
        <v/>
      </c>
      <c r="C35" s="23">
        <f>ROUND(C14*1000*C15,0)</f>
        <v/>
      </c>
      <c r="D35" s="23">
        <f>ROUND(D14*1000*D15,0)</f>
        <v/>
      </c>
      <c r="E35" s="23">
        <f>ROUND(E14*1000*E15,0)</f>
        <v/>
      </c>
      <c r="F35" s="23">
        <f>ROUND(F14*1000*F15,0)</f>
        <v/>
      </c>
      <c r="G35" s="23">
        <f>ROUND(G14*1000*G15,0)</f>
        <v/>
      </c>
      <c r="H35" s="23">
        <f>ROUND(H14*1000*H15,0)</f>
        <v/>
      </c>
      <c r="I35" s="23">
        <f>ROUND(I14*1000*I15,0)</f>
        <v/>
      </c>
      <c r="J35" s="23">
        <f>ROUND(J14*1000*J15,0)</f>
        <v/>
      </c>
      <c r="L35" s="24">
        <f>B35</f>
        <v/>
      </c>
      <c r="M35" s="24">
        <f>SUM(C35:F35)</f>
        <v/>
      </c>
      <c r="N35" s="24">
        <f>SUM(G35:J35)</f>
        <v/>
      </c>
    </row>
    <row r="36" ht="18" customHeight="1">
      <c r="A36" s="16" t="inlineStr">
        <is>
          <t xml:space="preserve">  в т.ч. отменено (шт.)</t>
        </is>
      </c>
      <c r="B36" s="23">
        <f>ROUND(B35*B23,0)</f>
        <v/>
      </c>
      <c r="C36" s="23">
        <f>ROUND(C35*C23,0)</f>
        <v/>
      </c>
      <c r="D36" s="23">
        <f>ROUND(D35*D23,0)</f>
        <v/>
      </c>
      <c r="E36" s="23">
        <f>ROUND(E35*E23,0)</f>
        <v/>
      </c>
      <c r="F36" s="23">
        <f>ROUND(F35*F23,0)</f>
        <v/>
      </c>
      <c r="G36" s="23">
        <f>ROUND(G35*G23,0)</f>
        <v/>
      </c>
      <c r="H36" s="23">
        <f>ROUND(H35*H23,0)</f>
        <v/>
      </c>
      <c r="I36" s="23">
        <f>ROUND(I35*I23,0)</f>
        <v/>
      </c>
      <c r="J36" s="23">
        <f>ROUND(J35*J23,0)</f>
        <v/>
      </c>
      <c r="L36" s="24">
        <f>B36</f>
        <v/>
      </c>
      <c r="M36" s="24">
        <f>SUM(C36:F36)</f>
        <v/>
      </c>
      <c r="N36" s="24">
        <f>SUM(G36:J36)</f>
        <v/>
      </c>
    </row>
    <row r="37" ht="18" customHeight="1">
      <c r="A37" s="16" t="inlineStr">
        <is>
          <t xml:space="preserve">  в т.ч. возвратов (шт.)</t>
        </is>
      </c>
      <c r="B37" s="23">
        <f>ROUND(B35*B24,0)</f>
        <v/>
      </c>
      <c r="C37" s="23">
        <f>ROUND(C35*C24,0)</f>
        <v/>
      </c>
      <c r="D37" s="23">
        <f>ROUND(D35*D24,0)</f>
        <v/>
      </c>
      <c r="E37" s="23">
        <f>ROUND(E35*E24,0)</f>
        <v/>
      </c>
      <c r="F37" s="23">
        <f>ROUND(F35*F24,0)</f>
        <v/>
      </c>
      <c r="G37" s="23">
        <f>ROUND(G35*G24,0)</f>
        <v/>
      </c>
      <c r="H37" s="23">
        <f>ROUND(H35*H24,0)</f>
        <v/>
      </c>
      <c r="I37" s="23">
        <f>ROUND(I35*I24,0)</f>
        <v/>
      </c>
      <c r="J37" s="23">
        <f>ROUND(J35*J24,0)</f>
        <v/>
      </c>
      <c r="L37" s="24">
        <f>B37</f>
        <v/>
      </c>
      <c r="M37" s="24">
        <f>SUM(C37:F37)</f>
        <v/>
      </c>
      <c r="N37" s="24">
        <f>SUM(G37:J37)</f>
        <v/>
      </c>
    </row>
    <row r="38" ht="18" customHeight="1">
      <c r="A38" s="25" t="inlineStr">
        <is>
          <t>Завершённых заказов (шт.)</t>
        </is>
      </c>
      <c r="B38" s="26">
        <f>B35-B36-B37</f>
        <v/>
      </c>
      <c r="C38" s="26">
        <f>C35-C36-C37</f>
        <v/>
      </c>
      <c r="D38" s="26">
        <f>D35-D36-D37</f>
        <v/>
      </c>
      <c r="E38" s="26">
        <f>E35-E36-E37</f>
        <v/>
      </c>
      <c r="F38" s="26">
        <f>F35-F36-F37</f>
        <v/>
      </c>
      <c r="G38" s="26">
        <f>G35-G36-G37</f>
        <v/>
      </c>
      <c r="H38" s="26">
        <f>H35-H36-H37</f>
        <v/>
      </c>
      <c r="I38" s="26">
        <f>I35-I36-I37</f>
        <v/>
      </c>
      <c r="J38" s="26">
        <f>J35-J36-J37</f>
        <v/>
      </c>
      <c r="L38" s="27">
        <f>B38</f>
        <v/>
      </c>
      <c r="M38" s="27">
        <f>SUM(C38:F38)</f>
        <v/>
      </c>
      <c r="N38" s="27">
        <f>SUM(G38:J38)</f>
        <v/>
      </c>
    </row>
    <row r="39" ht="18" customHeight="1"/>
    <row r="40" ht="24" customHeight="1">
      <c r="A40" s="15" t="inlineStr">
        <is>
          <t xml:space="preserve">  РАЗДЕЛ 3: GMV И ВЫРУЧКА ПЛАТФОРМЫ</t>
        </is>
      </c>
    </row>
    <row r="41" ht="18" customHeight="1">
      <c r="A41" s="25" t="inlineStr">
        <is>
          <t>GMV — оборот всех товаров (₽)</t>
        </is>
      </c>
      <c r="B41" s="28">
        <f>ROUND(B35*B16,0)</f>
        <v/>
      </c>
      <c r="C41" s="28">
        <f>ROUND(C35*C16,0)</f>
        <v/>
      </c>
      <c r="D41" s="28">
        <f>ROUND(D35*D16,0)</f>
        <v/>
      </c>
      <c r="E41" s="28">
        <f>ROUND(E35*E16,0)</f>
        <v/>
      </c>
      <c r="F41" s="28">
        <f>ROUND(F35*F16,0)</f>
        <v/>
      </c>
      <c r="G41" s="28">
        <f>ROUND(G35*G16,0)</f>
        <v/>
      </c>
      <c r="H41" s="28">
        <f>ROUND(H35*H16,0)</f>
        <v/>
      </c>
      <c r="I41" s="28">
        <f>ROUND(I35*I16,0)</f>
        <v/>
      </c>
      <c r="J41" s="28">
        <f>ROUND(J35*J16,0)</f>
        <v/>
      </c>
      <c r="L41" s="29">
        <f>B41</f>
        <v/>
      </c>
      <c r="M41" s="29">
        <f>SUM(C41:F41)</f>
        <v/>
      </c>
      <c r="N41" s="29">
        <f>SUM(G41:J41)</f>
        <v/>
      </c>
    </row>
    <row r="42" ht="18" customHeight="1">
      <c r="A42" s="16" t="inlineStr">
        <is>
          <t>Net GMV — после отмен и возвратов (₽)</t>
        </is>
      </c>
      <c r="B42" s="30">
        <f>ROUND(B41*(1-B23)*(1-B24),0)</f>
        <v/>
      </c>
      <c r="C42" s="30">
        <f>ROUND(C41*(1-C23)*(1-C24),0)</f>
        <v/>
      </c>
      <c r="D42" s="30">
        <f>ROUND(D41*(1-D23)*(1-D24),0)</f>
        <v/>
      </c>
      <c r="E42" s="30">
        <f>ROUND(E41*(1-E23)*(1-E24),0)</f>
        <v/>
      </c>
      <c r="F42" s="30">
        <f>ROUND(F41*(1-F23)*(1-F24),0)</f>
        <v/>
      </c>
      <c r="G42" s="30">
        <f>ROUND(G41*(1-G23)*(1-G24),0)</f>
        <v/>
      </c>
      <c r="H42" s="30">
        <f>ROUND(H41*(1-H23)*(1-H24),0)</f>
        <v/>
      </c>
      <c r="I42" s="30">
        <f>ROUND(I41*(1-I23)*(1-I24),0)</f>
        <v/>
      </c>
      <c r="J42" s="30">
        <f>ROUND(J41*(1-J23)*(1-J24),0)</f>
        <v/>
      </c>
      <c r="L42" s="22">
        <f>B42</f>
        <v/>
      </c>
      <c r="M42" s="22">
        <f>SUM(C42:F42)</f>
        <v/>
      </c>
      <c r="N42" s="22">
        <f>SUM(G42:J42)</f>
        <v/>
      </c>
    </row>
    <row r="43" ht="18" customHeight="1">
      <c r="A43" s="16" t="inlineStr">
        <is>
          <t>Выручка от комиссии (₽) = Net GMV × Take Rate</t>
        </is>
      </c>
      <c r="B43" s="30">
        <f>ROUND(B42*B25,0)</f>
        <v/>
      </c>
      <c r="C43" s="30">
        <f>ROUND(C42*C25,0)</f>
        <v/>
      </c>
      <c r="D43" s="30">
        <f>ROUND(D42*D25,0)</f>
        <v/>
      </c>
      <c r="E43" s="30">
        <f>ROUND(E42*E25,0)</f>
        <v/>
      </c>
      <c r="F43" s="30">
        <f>ROUND(F42*F25,0)</f>
        <v/>
      </c>
      <c r="G43" s="30">
        <f>ROUND(G42*G25,0)</f>
        <v/>
      </c>
      <c r="H43" s="30">
        <f>ROUND(H42*H25,0)</f>
        <v/>
      </c>
      <c r="I43" s="30">
        <f>ROUND(I42*I25,0)</f>
        <v/>
      </c>
      <c r="J43" s="30">
        <f>ROUND(J42*J25,0)</f>
        <v/>
      </c>
      <c r="L43" s="22">
        <f>B43</f>
        <v/>
      </c>
      <c r="M43" s="22">
        <f>SUM(C43:F43)</f>
        <v/>
      </c>
      <c r="N43" s="22">
        <f>SUM(G43:J43)</f>
        <v/>
      </c>
    </row>
    <row r="44" ht="18" customHeight="1">
      <c r="A44" s="16" t="inlineStr">
        <is>
          <t>Выручка от подписки продавцов (₽)</t>
        </is>
      </c>
      <c r="B44" s="30">
        <f>ROUND(B19*B30*B11,0)</f>
        <v/>
      </c>
      <c r="C44" s="30">
        <f>ROUND(C19*C30*C11,0)</f>
        <v/>
      </c>
      <c r="D44" s="30">
        <f>ROUND(D19*D30*D11,0)</f>
        <v/>
      </c>
      <c r="E44" s="30">
        <f>ROUND(E19*E30*E11,0)</f>
        <v/>
      </c>
      <c r="F44" s="30">
        <f>ROUND(F19*F30*F11,0)</f>
        <v/>
      </c>
      <c r="G44" s="30">
        <f>ROUND(G19*G30*G11,0)</f>
        <v/>
      </c>
      <c r="H44" s="30">
        <f>ROUND(H19*H30*H11,0)</f>
        <v/>
      </c>
      <c r="I44" s="30">
        <f>ROUND(I19*I30*I11,0)</f>
        <v/>
      </c>
      <c r="J44" s="30">
        <f>ROUND(J19*J30*J11,0)</f>
        <v/>
      </c>
      <c r="L44" s="22">
        <f>B44</f>
        <v/>
      </c>
      <c r="M44" s="22">
        <f>SUM(C44:F44)</f>
        <v/>
      </c>
      <c r="N44" s="22">
        <f>SUM(G44:J44)</f>
        <v/>
      </c>
    </row>
    <row r="45" ht="18" customHeight="1">
      <c r="A45" s="16" t="inlineStr">
        <is>
          <t>Выручка от рекламы (₽)</t>
        </is>
      </c>
      <c r="B45" s="30">
        <f>B31</f>
        <v/>
      </c>
      <c r="C45" s="30">
        <f>C31</f>
        <v/>
      </c>
      <c r="D45" s="30">
        <f>D31</f>
        <v/>
      </c>
      <c r="E45" s="30">
        <f>E31</f>
        <v/>
      </c>
      <c r="F45" s="30">
        <f>F31</f>
        <v/>
      </c>
      <c r="G45" s="30">
        <f>G31</f>
        <v/>
      </c>
      <c r="H45" s="30">
        <f>H31</f>
        <v/>
      </c>
      <c r="I45" s="30">
        <f>I31</f>
        <v/>
      </c>
      <c r="J45" s="30">
        <f>J31</f>
        <v/>
      </c>
      <c r="L45" s="22">
        <f>B45</f>
        <v/>
      </c>
      <c r="M45" s="22">
        <f>SUM(C45:F45)</f>
        <v/>
      </c>
      <c r="N45" s="22">
        <f>SUM(G45:J45)</f>
        <v/>
      </c>
    </row>
    <row r="46" ht="18" customHeight="1">
      <c r="A46" s="16" t="inlineStr">
        <is>
          <t>Выручка от продакшн-услуг (₽)</t>
        </is>
      </c>
      <c r="B46" s="30">
        <f>B32</f>
        <v/>
      </c>
      <c r="C46" s="30">
        <f>C32</f>
        <v/>
      </c>
      <c r="D46" s="30">
        <f>D32</f>
        <v/>
      </c>
      <c r="E46" s="30">
        <f>E32</f>
        <v/>
      </c>
      <c r="F46" s="30">
        <f>F32</f>
        <v/>
      </c>
      <c r="G46" s="30">
        <f>G32</f>
        <v/>
      </c>
      <c r="H46" s="30">
        <f>H32</f>
        <v/>
      </c>
      <c r="I46" s="30">
        <f>I32</f>
        <v/>
      </c>
      <c r="J46" s="30">
        <f>J32</f>
        <v/>
      </c>
      <c r="L46" s="22">
        <f>B46</f>
        <v/>
      </c>
      <c r="M46" s="22">
        <f>SUM(C46:F46)</f>
        <v/>
      </c>
      <c r="N46" s="22">
        <f>SUM(G46:J46)</f>
        <v/>
      </c>
    </row>
    <row r="47" ht="18" customHeight="1">
      <c r="A47" s="31" t="inlineStr">
        <is>
          <t>▶  СОВОКУПНАЯ ВЫРУЧКА ПЛАТФОРМЫ (₽)</t>
        </is>
      </c>
      <c r="B47" s="32">
        <f>SUM(B43:B46)</f>
        <v/>
      </c>
      <c r="C47" s="32">
        <f>SUM(C43:C46)</f>
        <v/>
      </c>
      <c r="D47" s="32">
        <f>SUM(D43:D46)</f>
        <v/>
      </c>
      <c r="E47" s="32">
        <f>SUM(E43:E46)</f>
        <v/>
      </c>
      <c r="F47" s="32">
        <f>SUM(F43:F46)</f>
        <v/>
      </c>
      <c r="G47" s="32">
        <f>SUM(G43:G46)</f>
        <v/>
      </c>
      <c r="H47" s="32">
        <f>SUM(H43:H46)</f>
        <v/>
      </c>
      <c r="I47" s="32">
        <f>SUM(I43:I46)</f>
        <v/>
      </c>
      <c r="J47" s="32">
        <f>SUM(J43:J46)</f>
        <v/>
      </c>
      <c r="L47" s="33">
        <f>B47</f>
        <v/>
      </c>
      <c r="M47" s="33">
        <f>SUM(C47:F47)</f>
        <v/>
      </c>
      <c r="N47" s="33">
        <f>SUM(G47:J47)</f>
        <v/>
      </c>
    </row>
    <row r="48" ht="18" customHeight="1"/>
    <row r="49" ht="24" customHeight="1">
      <c r="A49" s="15" t="inlineStr">
        <is>
          <t xml:space="preserve">  РАЗДЕЛ 4: ПЕРЕМЕННЫЕ РАСХОДЫ И ВАЛОВАЯ МАРЖА</t>
        </is>
      </c>
    </row>
    <row r="50" ht="18" customHeight="1">
      <c r="A50" s="16" t="inlineStr">
        <is>
          <t>Эквайринг (₽) = GMV × комиссия эквайринга</t>
        </is>
      </c>
      <c r="B50" s="30">
        <f>ROUND(B41*B26,0)</f>
        <v/>
      </c>
      <c r="C50" s="30">
        <f>ROUND(C41*C26,0)</f>
        <v/>
      </c>
      <c r="D50" s="30">
        <f>ROUND(D41*D26,0)</f>
        <v/>
      </c>
      <c r="E50" s="30">
        <f>ROUND(E41*E26,0)</f>
        <v/>
      </c>
      <c r="F50" s="30">
        <f>ROUND(F41*F26,0)</f>
        <v/>
      </c>
      <c r="G50" s="30">
        <f>ROUND(G41*G26,0)</f>
        <v/>
      </c>
      <c r="H50" s="30">
        <f>ROUND(H41*H26,0)</f>
        <v/>
      </c>
      <c r="I50" s="30">
        <f>ROUND(I41*I26,0)</f>
        <v/>
      </c>
      <c r="J50" s="30">
        <f>ROUND(J41*J26,0)</f>
        <v/>
      </c>
      <c r="L50" s="22">
        <f>B50</f>
        <v/>
      </c>
      <c r="M50" s="22">
        <f>SUM(C50:F50)</f>
        <v/>
      </c>
      <c r="N50" s="22">
        <f>SUM(G50:J50)</f>
        <v/>
      </c>
    </row>
    <row r="51" ht="18" customHeight="1">
      <c r="A51" s="16" t="inlineStr">
        <is>
          <t>Субсидии на доставку (₽) = GMV × субсидия</t>
        </is>
      </c>
      <c r="B51" s="30">
        <f>ROUND(B41*B27,0)</f>
        <v/>
      </c>
      <c r="C51" s="30">
        <f>ROUND(C41*C27,0)</f>
        <v/>
      </c>
      <c r="D51" s="30">
        <f>ROUND(D41*D27,0)</f>
        <v/>
      </c>
      <c r="E51" s="30">
        <f>ROUND(E41*E27,0)</f>
        <v/>
      </c>
      <c r="F51" s="30">
        <f>ROUND(F41*F27,0)</f>
        <v/>
      </c>
      <c r="G51" s="30">
        <f>ROUND(G41*G27,0)</f>
        <v/>
      </c>
      <c r="H51" s="30">
        <f>ROUND(H41*H27,0)</f>
        <v/>
      </c>
      <c r="I51" s="30">
        <f>ROUND(I41*I27,0)</f>
        <v/>
      </c>
      <c r="J51" s="30">
        <f>ROUND(J41*J27,0)</f>
        <v/>
      </c>
      <c r="L51" s="22">
        <f>B51</f>
        <v/>
      </c>
      <c r="M51" s="22">
        <f>SUM(C51:F51)</f>
        <v/>
      </c>
      <c r="N51" s="22">
        <f>SUM(G51:J51)</f>
        <v/>
      </c>
    </row>
    <row r="52" ht="18" customHeight="1">
      <c r="A52" s="16" t="inlineStr">
        <is>
          <t>Поддержка (₽) = заказы × стоимость поддержки</t>
        </is>
      </c>
      <c r="B52" s="30">
        <f>ROUND(B35*B28,0)</f>
        <v/>
      </c>
      <c r="C52" s="30">
        <f>ROUND(C35*C28,0)</f>
        <v/>
      </c>
      <c r="D52" s="30">
        <f>ROUND(D35*D28,0)</f>
        <v/>
      </c>
      <c r="E52" s="30">
        <f>ROUND(E35*E28,0)</f>
        <v/>
      </c>
      <c r="F52" s="30">
        <f>ROUND(F35*F28,0)</f>
        <v/>
      </c>
      <c r="G52" s="30">
        <f>ROUND(G35*G28,0)</f>
        <v/>
      </c>
      <c r="H52" s="30">
        <f>ROUND(H35*H28,0)</f>
        <v/>
      </c>
      <c r="I52" s="30">
        <f>ROUND(I35*I28,0)</f>
        <v/>
      </c>
      <c r="J52" s="30">
        <f>ROUND(J35*J28,0)</f>
        <v/>
      </c>
      <c r="L52" s="22">
        <f>B52</f>
        <v/>
      </c>
      <c r="M52" s="22">
        <f>SUM(C52:F52)</f>
        <v/>
      </c>
      <c r="N52" s="22">
        <f>SUM(G52:J52)</f>
        <v/>
      </c>
    </row>
    <row r="53" ht="18" customHeight="1">
      <c r="A53" s="16" t="inlineStr">
        <is>
          <t>Обработка возвратов (₽) = возвраты × стоимость</t>
        </is>
      </c>
      <c r="B53" s="30">
        <f>ROUND(B37*B29,0)</f>
        <v/>
      </c>
      <c r="C53" s="30">
        <f>ROUND(C37*C29,0)</f>
        <v/>
      </c>
      <c r="D53" s="30">
        <f>ROUND(D37*D29,0)</f>
        <v/>
      </c>
      <c r="E53" s="30">
        <f>ROUND(E37*E29,0)</f>
        <v/>
      </c>
      <c r="F53" s="30">
        <f>ROUND(F37*F29,0)</f>
        <v/>
      </c>
      <c r="G53" s="30">
        <f>ROUND(G37*G29,0)</f>
        <v/>
      </c>
      <c r="H53" s="30">
        <f>ROUND(H37*H29,0)</f>
        <v/>
      </c>
      <c r="I53" s="30">
        <f>ROUND(I37*I29,0)</f>
        <v/>
      </c>
      <c r="J53" s="30">
        <f>ROUND(J37*J29,0)</f>
        <v/>
      </c>
      <c r="L53" s="22">
        <f>B53</f>
        <v/>
      </c>
      <c r="M53" s="22">
        <f>SUM(C53:F53)</f>
        <v/>
      </c>
      <c r="N53" s="22">
        <f>SUM(G53:J53)</f>
        <v/>
      </c>
    </row>
    <row r="54" ht="18" customHeight="1">
      <c r="A54" s="31" t="inlineStr">
        <is>
          <t>▶  СОВОКУПНЫЕ ПЕРЕМЕННЫЕ РАСХОДЫ (₽)</t>
        </is>
      </c>
      <c r="B54" s="32">
        <f>SUM(B50:B53)</f>
        <v/>
      </c>
      <c r="C54" s="32">
        <f>SUM(C50:C53)</f>
        <v/>
      </c>
      <c r="D54" s="32">
        <f>SUM(D50:D53)</f>
        <v/>
      </c>
      <c r="E54" s="32">
        <f>SUM(E50:E53)</f>
        <v/>
      </c>
      <c r="F54" s="32">
        <f>SUM(F50:F53)</f>
        <v/>
      </c>
      <c r="G54" s="32">
        <f>SUM(G50:G53)</f>
        <v/>
      </c>
      <c r="H54" s="32">
        <f>SUM(H50:H53)</f>
        <v/>
      </c>
      <c r="I54" s="32">
        <f>SUM(I50:I53)</f>
        <v/>
      </c>
      <c r="J54" s="32">
        <f>SUM(J50:J53)</f>
        <v/>
      </c>
      <c r="L54" s="33">
        <f>B54</f>
        <v/>
      </c>
      <c r="M54" s="33">
        <f>SUM(C54:F54)</f>
        <v/>
      </c>
      <c r="N54" s="33">
        <f>SUM(G54:J54)</f>
        <v/>
      </c>
    </row>
    <row r="55" ht="18" customHeight="1">
      <c r="A55" s="34" t="inlineStr">
        <is>
          <t>▶  ВАЛОВАЯ МАРЖА (₽)</t>
        </is>
      </c>
      <c r="B55" s="35">
        <f>B47-B54</f>
        <v/>
      </c>
      <c r="C55" s="35">
        <f>C47-C54</f>
        <v/>
      </c>
      <c r="D55" s="35">
        <f>D47-D54</f>
        <v/>
      </c>
      <c r="E55" s="35">
        <f>E47-E54</f>
        <v/>
      </c>
      <c r="F55" s="35">
        <f>F47-F54</f>
        <v/>
      </c>
      <c r="G55" s="35">
        <f>G47-G54</f>
        <v/>
      </c>
      <c r="H55" s="35">
        <f>H47-H54</f>
        <v/>
      </c>
      <c r="I55" s="35">
        <f>I47-I54</f>
        <v/>
      </c>
      <c r="J55" s="35">
        <f>J47-J54</f>
        <v/>
      </c>
      <c r="L55" s="36">
        <f>B55</f>
        <v/>
      </c>
      <c r="M55" s="36">
        <f>SUM(C55:F55)</f>
        <v/>
      </c>
      <c r="N55" s="36">
        <f>SUM(G55:J55)</f>
        <v/>
      </c>
    </row>
    <row r="56" ht="18" customHeight="1">
      <c r="A56" s="16" t="inlineStr">
        <is>
          <t>Валовая маржа (%)</t>
        </is>
      </c>
      <c r="B56" s="37">
        <f>IF(B47&gt;0,B55/B47,0)</f>
        <v/>
      </c>
      <c r="C56" s="37">
        <f>IF(C47&gt;0,C55/C47,0)</f>
        <v/>
      </c>
      <c r="D56" s="37">
        <f>IF(D47&gt;0,D55/D47,0)</f>
        <v/>
      </c>
      <c r="E56" s="37">
        <f>IF(E47&gt;0,E55/E47,0)</f>
        <v/>
      </c>
      <c r="F56" s="37">
        <f>IF(F47&gt;0,F55/F47,0)</f>
        <v/>
      </c>
      <c r="G56" s="37">
        <f>IF(G47&gt;0,G55/G47,0)</f>
        <v/>
      </c>
      <c r="H56" s="37">
        <f>IF(H47&gt;0,H55/H47,0)</f>
        <v/>
      </c>
      <c r="I56" s="37">
        <f>IF(I47&gt;0,I55/I47,0)</f>
        <v/>
      </c>
      <c r="J56" s="37">
        <f>IF(J47&gt;0,J55/J47,0)</f>
        <v/>
      </c>
      <c r="L56" s="38">
        <f>B56</f>
        <v/>
      </c>
      <c r="M56" s="38">
        <f>SUM(C56:F56)</f>
        <v/>
      </c>
      <c r="N56" s="38">
        <f>SUM(G56:J56)</f>
        <v/>
      </c>
    </row>
    <row r="57" ht="18" customHeight="1"/>
    <row r="58" ht="24" customHeight="1">
      <c r="A58" s="15" t="inlineStr">
        <is>
          <t xml:space="preserve">  РАЗДЕЛ 5: OPEX — ОПЕРАЦИОННЫЕ РАСХОДЫ (₽)</t>
        </is>
      </c>
    </row>
    <row r="59" ht="18" customHeight="1">
      <c r="A59" s="39" t="inlineStr">
        <is>
          <t xml:space="preserve">  ФОТ Администрация</t>
        </is>
      </c>
      <c r="B59" s="19" t="n">
        <v>2100000</v>
      </c>
      <c r="C59" s="19" t="n">
        <v>900000</v>
      </c>
      <c r="D59" s="19" t="n">
        <v>950000</v>
      </c>
      <c r="E59" s="19" t="n">
        <v>1000000</v>
      </c>
      <c r="F59" s="19" t="n">
        <v>1050000</v>
      </c>
      <c r="G59" s="19" t="n">
        <v>1200000</v>
      </c>
      <c r="H59" s="19" t="n">
        <v>1250000</v>
      </c>
      <c r="I59" s="19" t="n">
        <v>1300000</v>
      </c>
      <c r="J59" s="19" t="n">
        <v>1350000</v>
      </c>
      <c r="L59" s="22">
        <f>B59</f>
        <v/>
      </c>
      <c r="M59" s="22">
        <f>SUM(C59:F59)</f>
        <v/>
      </c>
      <c r="N59" s="22">
        <f>SUM(G59:J59)</f>
        <v/>
      </c>
    </row>
    <row r="60" ht="18" customHeight="1">
      <c r="A60" s="39" t="inlineStr">
        <is>
          <t xml:space="preserve">  ФОТ Закупки (3 чел.)</t>
        </is>
      </c>
      <c r="B60" s="19" t="n">
        <v>1470000</v>
      </c>
      <c r="C60" s="19" t="n">
        <v>480000</v>
      </c>
      <c r="D60" s="19" t="n">
        <v>500000</v>
      </c>
      <c r="E60" s="19" t="n">
        <v>520000</v>
      </c>
      <c r="F60" s="19" t="n">
        <v>540000</v>
      </c>
      <c r="G60" s="19" t="n">
        <v>600000</v>
      </c>
      <c r="H60" s="19" t="n">
        <v>630000</v>
      </c>
      <c r="I60" s="19" t="n">
        <v>660000</v>
      </c>
      <c r="J60" s="19" t="n">
        <v>700000</v>
      </c>
      <c r="L60" s="22">
        <f>B60</f>
        <v/>
      </c>
      <c r="M60" s="22">
        <f>SUM(C60:F60)</f>
        <v/>
      </c>
      <c r="N60" s="22">
        <f>SUM(G60:J60)</f>
        <v/>
      </c>
    </row>
    <row r="61" ht="18" customHeight="1">
      <c r="A61" s="39" t="inlineStr">
        <is>
          <t xml:space="preserve">  ФОТ Продажи (7 чел.)</t>
        </is>
      </c>
      <c r="B61" s="19" t="n">
        <v>4200000</v>
      </c>
      <c r="C61" s="19" t="n">
        <v>1500000</v>
      </c>
      <c r="D61" s="19" t="n">
        <v>1600000</v>
      </c>
      <c r="E61" s="19" t="n">
        <v>1700000</v>
      </c>
      <c r="F61" s="19" t="n">
        <v>1800000</v>
      </c>
      <c r="G61" s="19" t="n">
        <v>2200000</v>
      </c>
      <c r="H61" s="19" t="n">
        <v>2400000</v>
      </c>
      <c r="I61" s="19" t="n">
        <v>2600000</v>
      </c>
      <c r="J61" s="19" t="n">
        <v>2800000</v>
      </c>
      <c r="L61" s="22">
        <f>B61</f>
        <v/>
      </c>
      <c r="M61" s="22">
        <f>SUM(C61:F61)</f>
        <v/>
      </c>
      <c r="N61" s="22">
        <f>SUM(G61:J61)</f>
        <v/>
      </c>
    </row>
    <row r="62" ht="18" customHeight="1">
      <c r="A62" s="39" t="inlineStr">
        <is>
          <t xml:space="preserve">  ФОТ Supply / Категорийный</t>
        </is>
      </c>
      <c r="B62" s="19" t="n">
        <v>700000</v>
      </c>
      <c r="C62" s="19" t="n">
        <v>360000</v>
      </c>
      <c r="D62" s="19" t="n">
        <v>380000</v>
      </c>
      <c r="E62" s="19" t="n">
        <v>400000</v>
      </c>
      <c r="F62" s="19" t="n">
        <v>420000</v>
      </c>
      <c r="G62" s="19" t="n">
        <v>480000</v>
      </c>
      <c r="H62" s="19" t="n">
        <v>520000</v>
      </c>
      <c r="I62" s="19" t="n">
        <v>560000</v>
      </c>
      <c r="J62" s="19" t="n">
        <v>600000</v>
      </c>
      <c r="L62" s="22">
        <f>B62</f>
        <v/>
      </c>
      <c r="M62" s="22">
        <f>SUM(C62:F62)</f>
        <v/>
      </c>
      <c r="N62" s="22">
        <f>SUM(G62:J62)</f>
        <v/>
      </c>
    </row>
    <row r="63" ht="18" customHeight="1">
      <c r="A63" s="39" t="inlineStr">
        <is>
          <t xml:space="preserve">  ФОТ Клиентский сервис</t>
        </is>
      </c>
      <c r="B63" s="19" t="n">
        <v>840000</v>
      </c>
      <c r="C63" s="19" t="n">
        <v>450000</v>
      </c>
      <c r="D63" s="19" t="n">
        <v>480000</v>
      </c>
      <c r="E63" s="19" t="n">
        <v>510000</v>
      </c>
      <c r="F63" s="19" t="n">
        <v>540000</v>
      </c>
      <c r="G63" s="19" t="n">
        <v>650000</v>
      </c>
      <c r="H63" s="19" t="n">
        <v>700000</v>
      </c>
      <c r="I63" s="19" t="n">
        <v>750000</v>
      </c>
      <c r="J63" s="19" t="n">
        <v>800000</v>
      </c>
      <c r="L63" s="22">
        <f>B63</f>
        <v/>
      </c>
      <c r="M63" s="22">
        <f>SUM(C63:F63)</f>
        <v/>
      </c>
      <c r="N63" s="22">
        <f>SUM(G63:J63)</f>
        <v/>
      </c>
    </row>
    <row r="64" ht="18" customHeight="1">
      <c r="A64" s="39" t="inlineStr">
        <is>
          <t xml:space="preserve">  ФОТ Контент</t>
        </is>
      </c>
      <c r="B64" s="19" t="n">
        <v>560000</v>
      </c>
      <c r="C64" s="19" t="n">
        <v>300000</v>
      </c>
      <c r="D64" s="19" t="n">
        <v>320000</v>
      </c>
      <c r="E64" s="19" t="n">
        <v>340000</v>
      </c>
      <c r="F64" s="19" t="n">
        <v>360000</v>
      </c>
      <c r="G64" s="19" t="n">
        <v>450000</v>
      </c>
      <c r="H64" s="19" t="n">
        <v>490000</v>
      </c>
      <c r="I64" s="19" t="n">
        <v>530000</v>
      </c>
      <c r="J64" s="19" t="n">
        <v>570000</v>
      </c>
      <c r="L64" s="22">
        <f>B64</f>
        <v/>
      </c>
      <c r="M64" s="22">
        <f>SUM(C64:F64)</f>
        <v/>
      </c>
      <c r="N64" s="22">
        <f>SUM(G64:J64)</f>
        <v/>
      </c>
    </row>
    <row r="65" ht="18" customHeight="1">
      <c r="A65" s="39" t="inlineStr">
        <is>
          <t xml:space="preserve">  ФОТ Маркетинг</t>
        </is>
      </c>
      <c r="B65" s="19" t="n">
        <v>840000</v>
      </c>
      <c r="C65" s="19" t="n">
        <v>360000</v>
      </c>
      <c r="D65" s="19" t="n">
        <v>380000</v>
      </c>
      <c r="E65" s="19" t="n">
        <v>400000</v>
      </c>
      <c r="F65" s="19" t="n">
        <v>420000</v>
      </c>
      <c r="G65" s="19" t="n">
        <v>520000</v>
      </c>
      <c r="H65" s="19" t="n">
        <v>570000</v>
      </c>
      <c r="I65" s="19" t="n">
        <v>620000</v>
      </c>
      <c r="J65" s="19" t="n">
        <v>670000</v>
      </c>
      <c r="L65" s="22">
        <f>B65</f>
        <v/>
      </c>
      <c r="M65" s="22">
        <f>SUM(C65:F65)</f>
        <v/>
      </c>
      <c r="N65" s="22">
        <f>SUM(G65:J65)</f>
        <v/>
      </c>
    </row>
    <row r="66" ht="18" customHeight="1">
      <c r="A66" s="39" t="inlineStr">
        <is>
          <t xml:space="preserve">  ФОТ IT внутренний (4 чел.)</t>
        </is>
      </c>
      <c r="B66" s="19" t="n">
        <v>3360000</v>
      </c>
      <c r="C66" s="19" t="n">
        <v>1200000</v>
      </c>
      <c r="D66" s="19" t="n">
        <v>1260000</v>
      </c>
      <c r="E66" s="19" t="n">
        <v>1320000</v>
      </c>
      <c r="F66" s="19" t="n">
        <v>1380000</v>
      </c>
      <c r="G66" s="19" t="n">
        <v>1700000</v>
      </c>
      <c r="H66" s="19" t="n">
        <v>1850000</v>
      </c>
      <c r="I66" s="19" t="n">
        <v>2000000</v>
      </c>
      <c r="J66" s="19" t="n">
        <v>2150000</v>
      </c>
      <c r="L66" s="22">
        <f>B66</f>
        <v/>
      </c>
      <c r="M66" s="22">
        <f>SUM(C66:F66)</f>
        <v/>
      </c>
      <c r="N66" s="22">
        <f>SUM(G66:J66)</f>
        <v/>
      </c>
    </row>
    <row r="67" ht="18" customHeight="1">
      <c r="A67" s="39" t="inlineStr">
        <is>
          <t xml:space="preserve">  ФОТ IT внешний (7 чел.)</t>
        </is>
      </c>
      <c r="B67" s="19" t="n">
        <v>5880000</v>
      </c>
      <c r="C67" s="19" t="n">
        <v>2100000</v>
      </c>
      <c r="D67" s="19" t="n">
        <v>2200000</v>
      </c>
      <c r="E67" s="19" t="n">
        <v>2300000</v>
      </c>
      <c r="F67" s="19" t="n">
        <v>2400000</v>
      </c>
      <c r="G67" s="19" t="n">
        <v>3000000</v>
      </c>
      <c r="H67" s="19" t="n">
        <v>3300000</v>
      </c>
      <c r="I67" s="19" t="n">
        <v>3600000</v>
      </c>
      <c r="J67" s="19" t="n">
        <v>3900000</v>
      </c>
      <c r="L67" s="22">
        <f>B67</f>
        <v/>
      </c>
      <c r="M67" s="22">
        <f>SUM(C67:F67)</f>
        <v/>
      </c>
      <c r="N67" s="22">
        <f>SUM(G67:J67)</f>
        <v/>
      </c>
    </row>
    <row r="68" ht="18" customHeight="1">
      <c r="A68" s="39" t="inlineStr">
        <is>
          <t xml:space="preserve">  ФОТ Фулфилмент / Логистика</t>
        </is>
      </c>
      <c r="B68" s="19" t="n">
        <v>980000</v>
      </c>
      <c r="C68" s="19" t="n">
        <v>360000</v>
      </c>
      <c r="D68" s="19" t="n">
        <v>380000</v>
      </c>
      <c r="E68" s="19" t="n">
        <v>400000</v>
      </c>
      <c r="F68" s="19" t="n">
        <v>420000</v>
      </c>
      <c r="G68" s="19" t="n">
        <v>500000</v>
      </c>
      <c r="H68" s="19" t="n">
        <v>550000</v>
      </c>
      <c r="I68" s="19" t="n">
        <v>600000</v>
      </c>
      <c r="J68" s="19" t="n">
        <v>650000</v>
      </c>
      <c r="L68" s="22">
        <f>B68</f>
        <v/>
      </c>
      <c r="M68" s="22">
        <f>SUM(C68:F68)</f>
        <v/>
      </c>
      <c r="N68" s="22">
        <f>SUM(G68:J68)</f>
        <v/>
      </c>
    </row>
    <row r="69" ht="18" customHeight="1">
      <c r="A69" s="39" t="inlineStr">
        <is>
          <t xml:space="preserve">  Хостинг / Лицензии / ПО</t>
        </is>
      </c>
      <c r="B69" s="19" t="n">
        <v>2000000</v>
      </c>
      <c r="C69" s="19" t="n">
        <v>700000</v>
      </c>
      <c r="D69" s="19" t="n">
        <v>800000</v>
      </c>
      <c r="E69" s="19" t="n">
        <v>900000</v>
      </c>
      <c r="F69" s="19" t="n">
        <v>1000000</v>
      </c>
      <c r="G69" s="19" t="n">
        <v>1500000</v>
      </c>
      <c r="H69" s="19" t="n">
        <v>1800000</v>
      </c>
      <c r="I69" s="19" t="n">
        <v>2100000</v>
      </c>
      <c r="J69" s="19" t="n">
        <v>2500000</v>
      </c>
      <c r="L69" s="22">
        <f>B69</f>
        <v/>
      </c>
      <c r="M69" s="22">
        <f>SUM(C69:F69)</f>
        <v/>
      </c>
      <c r="N69" s="22">
        <f>SUM(G69:J69)</f>
        <v/>
      </c>
    </row>
    <row r="70" ht="18" customHeight="1">
      <c r="A70" s="39" t="inlineStr">
        <is>
          <t xml:space="preserve">  Юр / Бух / Прочие</t>
        </is>
      </c>
      <c r="B70" s="19" t="n">
        <v>1500000</v>
      </c>
      <c r="C70" s="19" t="n">
        <v>400000</v>
      </c>
      <c r="D70" s="19" t="n">
        <v>420000</v>
      </c>
      <c r="E70" s="19" t="n">
        <v>440000</v>
      </c>
      <c r="F70" s="19" t="n">
        <v>460000</v>
      </c>
      <c r="G70" s="19" t="n">
        <v>600000</v>
      </c>
      <c r="H70" s="19" t="n">
        <v>650000</v>
      </c>
      <c r="I70" s="19" t="n">
        <v>700000</v>
      </c>
      <c r="J70" s="19" t="n">
        <v>750000</v>
      </c>
      <c r="L70" s="22">
        <f>B70</f>
        <v/>
      </c>
      <c r="M70" s="22">
        <f>SUM(C70:F70)</f>
        <v/>
      </c>
      <c r="N70" s="22">
        <f>SUM(G70:J70)</f>
        <v/>
      </c>
    </row>
    <row r="71" ht="18" customHeight="1">
      <c r="A71" s="39" t="inlineStr">
        <is>
          <t xml:space="preserve">  Маркетинг платный (SEO, контекст, таргет)</t>
        </is>
      </c>
      <c r="B71" s="19" t="n">
        <v>5000000</v>
      </c>
      <c r="C71" s="19" t="n">
        <v>4000000</v>
      </c>
      <c r="D71" s="19" t="n">
        <v>5000000</v>
      </c>
      <c r="E71" s="19" t="n">
        <v>6000000</v>
      </c>
      <c r="F71" s="19" t="n">
        <v>7000000</v>
      </c>
      <c r="G71" s="19" t="n">
        <v>9000000</v>
      </c>
      <c r="H71" s="19" t="n">
        <v>11000000</v>
      </c>
      <c r="I71" s="19" t="n">
        <v>13000000</v>
      </c>
      <c r="J71" s="19" t="n">
        <v>15000000</v>
      </c>
      <c r="L71" s="22">
        <f>B71</f>
        <v/>
      </c>
      <c r="M71" s="22">
        <f>SUM(C71:F71)</f>
        <v/>
      </c>
      <c r="N71" s="22">
        <f>SUM(G71:J71)</f>
        <v/>
      </c>
    </row>
    <row r="72" ht="18" customHeight="1">
      <c r="A72" s="31" t="inlineStr">
        <is>
          <t>▶  СОВОКУПНЫЕ OPEX (₽)</t>
        </is>
      </c>
      <c r="B72" s="32">
        <f>SUM(B59:B71)</f>
        <v/>
      </c>
      <c r="C72" s="32">
        <f>SUM(C59:C71)</f>
        <v/>
      </c>
      <c r="D72" s="32">
        <f>SUM(D59:D71)</f>
        <v/>
      </c>
      <c r="E72" s="32">
        <f>SUM(E59:E71)</f>
        <v/>
      </c>
      <c r="F72" s="32">
        <f>SUM(F59:F71)</f>
        <v/>
      </c>
      <c r="G72" s="32">
        <f>SUM(G59:G71)</f>
        <v/>
      </c>
      <c r="H72" s="32">
        <f>SUM(H59:H71)</f>
        <v/>
      </c>
      <c r="I72" s="32">
        <f>SUM(I59:I71)</f>
        <v/>
      </c>
      <c r="J72" s="32">
        <f>SUM(J59:J71)</f>
        <v/>
      </c>
      <c r="L72" s="33">
        <f>B72</f>
        <v/>
      </c>
      <c r="M72" s="33">
        <f>SUM(C72:F72)</f>
        <v/>
      </c>
      <c r="N72" s="33">
        <f>SUM(G72:J72)</f>
        <v/>
      </c>
    </row>
    <row r="73" ht="18" customHeight="1"/>
    <row r="74" ht="24" customHeight="1">
      <c r="A74" s="15" t="inlineStr">
        <is>
          <t xml:space="preserve">  РАЗДЕЛ 6: EBITDA</t>
        </is>
      </c>
    </row>
    <row r="75" ht="18" customHeight="1">
      <c r="A75" s="34" t="inlineStr">
        <is>
          <t>▶  EBITDA (₽)</t>
        </is>
      </c>
      <c r="B75" s="40">
        <f>B55-B72</f>
        <v/>
      </c>
      <c r="C75" s="40">
        <f>C55-C72</f>
        <v/>
      </c>
      <c r="D75" s="40">
        <f>D55-D72</f>
        <v/>
      </c>
      <c r="E75" s="40">
        <f>E55-E72</f>
        <v/>
      </c>
      <c r="F75" s="40">
        <f>F55-F72</f>
        <v/>
      </c>
      <c r="G75" s="40">
        <f>G55-G72</f>
        <v/>
      </c>
      <c r="H75" s="40">
        <f>H55-H72</f>
        <v/>
      </c>
      <c r="I75" s="40">
        <f>I55-I72</f>
        <v/>
      </c>
      <c r="J75" s="40">
        <f>J55-J72</f>
        <v/>
      </c>
      <c r="L75" s="41">
        <f>B75</f>
        <v/>
      </c>
      <c r="M75" s="41">
        <f>SUM(C75:F75)</f>
        <v/>
      </c>
      <c r="N75" s="41">
        <f>SUM(G75:J75)</f>
        <v/>
      </c>
    </row>
    <row r="76" ht="18" customHeight="1">
      <c r="A76" s="16" t="inlineStr">
        <is>
          <t>EBITDA маржа (%)</t>
        </is>
      </c>
      <c r="B76" s="42">
        <f>IF(B47&gt;0,B75/B47,"—")</f>
        <v/>
      </c>
      <c r="C76" s="42">
        <f>IF(C47&gt;0,C75/C47,"—")</f>
        <v/>
      </c>
      <c r="D76" s="42">
        <f>IF(D47&gt;0,D75/D47,"—")</f>
        <v/>
      </c>
      <c r="E76" s="42">
        <f>IF(E47&gt;0,E75/E47,"—")</f>
        <v/>
      </c>
      <c r="F76" s="42">
        <f>IF(F47&gt;0,F75/F47,"—")</f>
        <v/>
      </c>
      <c r="G76" s="42">
        <f>IF(G47&gt;0,G75/G47,"—")</f>
        <v/>
      </c>
      <c r="H76" s="42">
        <f>IF(H47&gt;0,H75/H47,"—")</f>
        <v/>
      </c>
      <c r="I76" s="42">
        <f>IF(I47&gt;0,I75/I47,"—")</f>
        <v/>
      </c>
      <c r="J76" s="42">
        <f>IF(J47&gt;0,J75/J47,"—")</f>
        <v/>
      </c>
      <c r="L76" s="43">
        <f>B76</f>
        <v/>
      </c>
      <c r="M76" s="43">
        <f>SUM(C76:F76)</f>
        <v/>
      </c>
      <c r="N76" s="43">
        <f>SUM(G76:J76)</f>
        <v/>
      </c>
    </row>
    <row r="77" ht="18" customHeight="1"/>
    <row r="78" ht="24" customHeight="1">
      <c r="A78" s="15" t="inlineStr">
        <is>
          <t xml:space="preserve">  РАЗДЕЛ 7: ЮНИТ-ЭКОНОМИКА ПОКУПАТЕЛЯ</t>
        </is>
      </c>
    </row>
    <row r="79" ht="18" customHeight="1">
      <c r="A79" s="39" t="inlineStr">
        <is>
          <t>Новые покупатели (шт.)</t>
        </is>
      </c>
      <c r="B79" s="44">
        <f>ROUND(B35*0.7,0)</f>
        <v/>
      </c>
      <c r="C79" s="44">
        <f>ROUND(C35*0.65,0)</f>
        <v/>
      </c>
      <c r="D79" s="44">
        <f>ROUND(D35*0.62,0)</f>
        <v/>
      </c>
      <c r="E79" s="44">
        <f>ROUND(E35*0.58,0)</f>
        <v/>
      </c>
      <c r="F79" s="44">
        <f>ROUND(F35*0.55,0)</f>
        <v/>
      </c>
      <c r="G79" s="44">
        <f>ROUND(G35*0.5,0)</f>
        <v/>
      </c>
      <c r="H79" s="44">
        <f>ROUND(H35*0.48,0)</f>
        <v/>
      </c>
      <c r="I79" s="44">
        <f>ROUND(I35*0.45,0)</f>
        <v/>
      </c>
      <c r="J79" s="44">
        <f>ROUND(J35*0.42,0)</f>
        <v/>
      </c>
      <c r="L79" s="24">
        <f>B79</f>
        <v/>
      </c>
      <c r="M79" s="24">
        <f>SUM(C79:F79)</f>
        <v/>
      </c>
      <c r="N79" s="24">
        <f>SUM(G79:J79)</f>
        <v/>
      </c>
    </row>
    <row r="80" ht="18" customHeight="1">
      <c r="A80" s="16" t="inlineStr">
        <is>
          <t>Маркетинг на привлечение (₽) = новые × CAC</t>
        </is>
      </c>
      <c r="B80" s="30">
        <f>ROUND(B79*B18,0)</f>
        <v/>
      </c>
      <c r="C80" s="30">
        <f>ROUND(C79*C18,0)</f>
        <v/>
      </c>
      <c r="D80" s="30">
        <f>ROUND(D79*D18,0)</f>
        <v/>
      </c>
      <c r="E80" s="30">
        <f>ROUND(E79*E18,0)</f>
        <v/>
      </c>
      <c r="F80" s="30">
        <f>ROUND(F79*F18,0)</f>
        <v/>
      </c>
      <c r="G80" s="30">
        <f>ROUND(G79*G18,0)</f>
        <v/>
      </c>
      <c r="H80" s="30">
        <f>ROUND(H79*H18,0)</f>
        <v/>
      </c>
      <c r="I80" s="30">
        <f>ROUND(I79*I18,0)</f>
        <v/>
      </c>
      <c r="J80" s="30">
        <f>ROUND(J79*J18,0)</f>
        <v/>
      </c>
      <c r="L80" s="22">
        <f>B80</f>
        <v/>
      </c>
      <c r="M80" s="22">
        <f>SUM(C80:F80)</f>
        <v/>
      </c>
      <c r="N80" s="22">
        <f>SUM(G80:J80)</f>
        <v/>
      </c>
    </row>
    <row r="81" ht="18" customHeight="1">
      <c r="A81" s="16" t="inlineStr">
        <is>
          <t>LTV покупателя (₽, упрощённо)</t>
        </is>
      </c>
      <c r="B81" s="30">
        <f>ROUND(B16*B25/(1-B24+0.001),0)</f>
        <v/>
      </c>
      <c r="C81" s="30">
        <f>ROUND(C16*C25/(1-C24+0.001),0)</f>
        <v/>
      </c>
      <c r="D81" s="30">
        <f>ROUND(D16*D25/(1-D24+0.001),0)</f>
        <v/>
      </c>
      <c r="E81" s="30">
        <f>ROUND(E16*E25/(1-E24+0.001),0)</f>
        <v/>
      </c>
      <c r="F81" s="30">
        <f>ROUND(F16*F25/(1-F24+0.001),0)</f>
        <v/>
      </c>
      <c r="G81" s="30">
        <f>ROUND(G16*G25/(1-G24+0.001),0)</f>
        <v/>
      </c>
      <c r="H81" s="30">
        <f>ROUND(H16*H25/(1-H24+0.001),0)</f>
        <v/>
      </c>
      <c r="I81" s="30">
        <f>ROUND(I16*I25/(1-I24+0.001),0)</f>
        <v/>
      </c>
      <c r="J81" s="30">
        <f>ROUND(J16*J25/(1-J24+0.001),0)</f>
        <v/>
      </c>
      <c r="L81" s="22">
        <f>B81</f>
        <v/>
      </c>
      <c r="M81" s="22">
        <f>F81</f>
        <v/>
      </c>
      <c r="N81" s="22">
        <f>J81</f>
        <v/>
      </c>
    </row>
    <row r="82" ht="18" customHeight="1">
      <c r="A82" s="16" t="inlineStr">
        <is>
          <t>LTV / CAC (x)</t>
        </is>
      </c>
      <c r="B82" s="45">
        <f>IFERROR(B81/B18,"—")</f>
        <v/>
      </c>
      <c r="C82" s="45">
        <f>IFERROR(C81/C18,"—")</f>
        <v/>
      </c>
      <c r="D82" s="45">
        <f>IFERROR(D81/D18,"—")</f>
        <v/>
      </c>
      <c r="E82" s="45">
        <f>IFERROR(E81/E18,"—")</f>
        <v/>
      </c>
      <c r="F82" s="45">
        <f>IFERROR(F81/F18,"—")</f>
        <v/>
      </c>
      <c r="G82" s="45">
        <f>IFERROR(G81/G18,"—")</f>
        <v/>
      </c>
      <c r="H82" s="45">
        <f>IFERROR(H81/H18,"—")</f>
        <v/>
      </c>
      <c r="I82" s="45">
        <f>IFERROR(I81/I18,"—")</f>
        <v/>
      </c>
      <c r="J82" s="45">
        <f>IFERROR(J81/J18,"—")</f>
        <v/>
      </c>
      <c r="L82" s="46">
        <f>B82</f>
        <v/>
      </c>
      <c r="M82" s="46">
        <f>F82</f>
        <v/>
      </c>
      <c r="N82" s="46">
        <f>J82</f>
        <v/>
      </c>
    </row>
    <row r="83" ht="18" customHeight="1"/>
    <row r="84" ht="24" customHeight="1">
      <c r="A84" s="15" t="inlineStr">
        <is>
          <t xml:space="preserve">  РАЗДЕЛ 8: ВЫПЛАТЫ ПРОДАВЦАМ (УПРОЩЁННО)</t>
        </is>
      </c>
    </row>
    <row r="85" ht="18" customHeight="1">
      <c r="A85" s="25" t="inlineStr">
        <is>
          <t>Выплаты продавцам (₽) = Net GMV × (1 − Take Rate)</t>
        </is>
      </c>
      <c r="B85" s="28">
        <f>ROUND(B42*(1-B25),0)</f>
        <v/>
      </c>
      <c r="C85" s="28">
        <f>ROUND(C42*(1-C25),0)</f>
        <v/>
      </c>
      <c r="D85" s="28">
        <f>ROUND(D42*(1-D25),0)</f>
        <v/>
      </c>
      <c r="E85" s="28">
        <f>ROUND(E42*(1-E25),0)</f>
        <v/>
      </c>
      <c r="F85" s="28">
        <f>ROUND(F42*(1-F25),0)</f>
        <v/>
      </c>
      <c r="G85" s="28">
        <f>ROUND(G42*(1-G25),0)</f>
        <v/>
      </c>
      <c r="H85" s="28">
        <f>ROUND(H42*(1-H25),0)</f>
        <v/>
      </c>
      <c r="I85" s="28">
        <f>ROUND(I42*(1-I25),0)</f>
        <v/>
      </c>
      <c r="J85" s="28">
        <f>ROUND(J42*(1-J25),0)</f>
        <v/>
      </c>
      <c r="L85" s="29">
        <f>B85</f>
        <v/>
      </c>
      <c r="M85" s="29">
        <f>SUM(C85:F85)</f>
        <v/>
      </c>
      <c r="N85" s="29">
        <f>SUM(G85:J85)</f>
        <v/>
      </c>
    </row>
    <row r="86" ht="18" customHeight="1">
      <c r="A86" s="16" t="inlineStr">
        <is>
          <t>Доля продавцов в Net GMV (%)</t>
        </is>
      </c>
      <c r="B86" s="37">
        <f>1-B25</f>
        <v/>
      </c>
      <c r="C86" s="37">
        <f>1-C25</f>
        <v/>
      </c>
      <c r="D86" s="37">
        <f>1-D25</f>
        <v/>
      </c>
      <c r="E86" s="37">
        <f>1-E25</f>
        <v/>
      </c>
      <c r="F86" s="37">
        <f>1-F25</f>
        <v/>
      </c>
      <c r="G86" s="37">
        <f>1-G25</f>
        <v/>
      </c>
      <c r="H86" s="37">
        <f>1-H25</f>
        <v/>
      </c>
      <c r="I86" s="37">
        <f>1-I25</f>
        <v/>
      </c>
      <c r="J86" s="37">
        <f>1-J25</f>
        <v/>
      </c>
      <c r="L86" s="38">
        <f>B86</f>
        <v/>
      </c>
      <c r="M86" s="38">
        <f>F86</f>
        <v/>
      </c>
      <c r="N86" s="38">
        <f>J86</f>
        <v/>
      </c>
    </row>
    <row r="87" ht="18" customHeight="1"/>
    <row r="88" ht="18" customHeight="1"/>
    <row r="89" ht="24" customHeight="1">
      <c r="A89" s="47" t="inlineStr">
        <is>
          <t xml:space="preserve">  ИТОГОВАЯ ТАБЛИЦА ПО ГОДАМ</t>
        </is>
      </c>
    </row>
    <row r="90" ht="18" customHeight="1">
      <c r="A90" s="48" t="inlineStr">
        <is>
          <t>Показатель</t>
        </is>
      </c>
      <c r="B90" s="49" t="inlineStr">
        <is>
          <t>2026 H2</t>
        </is>
      </c>
      <c r="C90" s="49" t="inlineStr">
        <is>
          <t>2027 (год)</t>
        </is>
      </c>
      <c r="D90" s="49" t="inlineStr">
        <is>
          <t>2028 (год)</t>
        </is>
      </c>
      <c r="E90" s="49" t="inlineStr">
        <is>
          <t>Рост 26→27</t>
        </is>
      </c>
      <c r="F90" s="49" t="inlineStr">
        <is>
          <t>Рост 27→28</t>
        </is>
      </c>
    </row>
    <row r="91" ht="20" customHeight="1">
      <c r="A91" s="50" t="inlineStr">
        <is>
          <t>GMV (млн ₽)</t>
        </is>
      </c>
      <c r="B91" s="51">
        <f>ROUND(L41/1000000.0,1)</f>
        <v/>
      </c>
      <c r="C91" s="51">
        <f>ROUND(M41/1000000.0,1)</f>
        <v/>
      </c>
      <c r="D91" s="51">
        <f>ROUND(N41/1000000.0,1)</f>
        <v/>
      </c>
      <c r="E91" s="52">
        <f>IFERROR(M41/L41-1,"—")</f>
        <v/>
      </c>
      <c r="F91" s="52">
        <f>IFERROR(N41/M41-1,"—")</f>
        <v/>
      </c>
    </row>
    <row r="92" ht="20" customHeight="1">
      <c r="A92" s="53" t="inlineStr">
        <is>
          <t>Выручка платформы (млн ₽)</t>
        </is>
      </c>
      <c r="B92" s="54">
        <f>ROUND(L47/1000000.0,1)</f>
        <v/>
      </c>
      <c r="C92" s="54">
        <f>ROUND(M47/1000000.0,1)</f>
        <v/>
      </c>
      <c r="D92" s="54">
        <f>ROUND(N47/1000000.0,1)</f>
        <v/>
      </c>
      <c r="E92" s="55">
        <f>IFERROR(M47/L47-1,"—")</f>
        <v/>
      </c>
      <c r="F92" s="55">
        <f>IFERROR(N47/M47-1,"—")</f>
        <v/>
      </c>
    </row>
    <row r="93" ht="20" customHeight="1">
      <c r="A93" s="5" t="inlineStr">
        <is>
          <t>Валовая маржа (млн ₽)</t>
        </is>
      </c>
      <c r="B93" s="56">
        <f>ROUND(L55/1000000.0,1)</f>
        <v/>
      </c>
      <c r="C93" s="56">
        <f>ROUND(M55/1000000.0,1)</f>
        <v/>
      </c>
      <c r="D93" s="56">
        <f>ROUND(N55/1000000.0,1)</f>
        <v/>
      </c>
      <c r="E93" s="52">
        <f>IFERROR(M55/L55-1,"—")</f>
        <v/>
      </c>
      <c r="F93" s="52">
        <f>IFERROR(N55/M55-1,"—")</f>
        <v/>
      </c>
    </row>
    <row r="94" ht="20" customHeight="1">
      <c r="A94" s="53" t="inlineStr">
        <is>
          <t>OPEX (млн ₽)</t>
        </is>
      </c>
      <c r="B94" s="54">
        <f>ROUND(L72/1000000.0,1)</f>
        <v/>
      </c>
      <c r="C94" s="54">
        <f>ROUND(M72/1000000.0,1)</f>
        <v/>
      </c>
      <c r="D94" s="54">
        <f>ROUND(N72/1000000.0,1)</f>
        <v/>
      </c>
      <c r="E94" s="55">
        <f>IFERROR(M72/L72-1,"—")</f>
        <v/>
      </c>
      <c r="F94" s="55">
        <f>IFERROR(N72/M72-1,"—")</f>
        <v/>
      </c>
    </row>
    <row r="95" ht="20" customHeight="1">
      <c r="A95" s="50" t="inlineStr">
        <is>
          <t>EBITDA (млн ₽)</t>
        </is>
      </c>
      <c r="B95" s="51">
        <f>ROUND(L75/1000000.0,1)</f>
        <v/>
      </c>
      <c r="C95" s="51">
        <f>ROUND(M75/1000000.0,1)</f>
        <v/>
      </c>
      <c r="D95" s="51">
        <f>ROUND(N75/1000000.0,1)</f>
        <v/>
      </c>
      <c r="E95" s="52">
        <f>IFERROR(M75/L75-1,"—")</f>
        <v/>
      </c>
      <c r="F95" s="52">
        <f>IFERROR(N75/M75-1,"—")</f>
        <v/>
      </c>
    </row>
    <row r="96" ht="20" customHeight="1">
      <c r="A96" s="53" t="inlineStr">
        <is>
          <t>Продавцы (шт.)</t>
        </is>
      </c>
      <c r="B96" s="54">
        <f>ROUND(L19/1,1)</f>
        <v/>
      </c>
      <c r="C96" s="54">
        <f>ROUND(M19/1,1)</f>
        <v/>
      </c>
      <c r="D96" s="54">
        <f>ROUND(N19/1,1)</f>
        <v/>
      </c>
      <c r="E96" s="55">
        <f>IFERROR(M19/L19-1,"—")</f>
        <v/>
      </c>
      <c r="F96" s="55">
        <f>IFERROR(N19/M19-1,"—")</f>
        <v/>
      </c>
    </row>
    <row r="97" ht="20" customHeight="1">
      <c r="A97" s="5" t="inlineStr">
        <is>
          <t>SKU (тыс.)</t>
        </is>
      </c>
      <c r="B97" s="56">
        <f>ROUND(L22/1,1)</f>
        <v/>
      </c>
      <c r="C97" s="56">
        <f>ROUND(M22/1,1)</f>
        <v/>
      </c>
      <c r="D97" s="56">
        <f>ROUND(N22/1,1)</f>
        <v/>
      </c>
      <c r="E97" s="52">
        <f>IFERROR(M22/L22-1,"—")</f>
        <v/>
      </c>
      <c r="F97" s="52">
        <f>IFERROR(N22/M22-1,"—")</f>
        <v/>
      </c>
    </row>
    <row r="98" ht="18" customHeight="1"/>
    <row r="99" ht="18" customHeight="1"/>
  </sheetData>
  <mergeCells count="16">
    <mergeCell ref="A40:N40"/>
    <mergeCell ref="A8:N8"/>
    <mergeCell ref="A6:N6"/>
    <mergeCell ref="A34:N34"/>
    <mergeCell ref="A74:N74"/>
    <mergeCell ref="A4:D4"/>
    <mergeCell ref="A78:N78"/>
    <mergeCell ref="A2:N2"/>
    <mergeCell ref="A7:N7"/>
    <mergeCell ref="A49:N49"/>
    <mergeCell ref="A5:N5"/>
    <mergeCell ref="A84:N84"/>
    <mergeCell ref="A13:N13"/>
    <mergeCell ref="A89:N89"/>
    <mergeCell ref="A58:N58"/>
    <mergeCell ref="A1:N1"/>
  </mergeCells>
  <conditionalFormatting sqref="B75:N7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2026-04-20T14:17:11Z</dcterms:created>
  <dcterms:modified xmlns:dcterms="http://purl.org/dc/terms/" xmlns:xsi="http://www.w3.org/2001/XMLSchema-instance" xsi:type="dcterms:W3CDTF">2026-04-20T14:17:12Z</dcterms:modified>
</cp:coreProperties>
</file>